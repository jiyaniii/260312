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Suppliers" sheetId="2" r:id="rId6"/>
    <sheet state="visible" name="Inventory" sheetId="3" r:id="rId7"/>
    <sheet state="visible" name="OrderSummary" sheetId="4" r:id="rId8"/>
    <sheet state="visible" name="EmailTemplat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발주권장수량 = 현재재고가 안전재고보다 적으면 MAX(MOQ, 부족수량)</t>
      </text>
    </comment>
  </commentList>
</comments>
</file>

<file path=xl/sharedStrings.xml><?xml version="1.0" encoding="utf-8"?>
<sst xmlns="http://schemas.openxmlformats.org/spreadsheetml/2006/main" count="136" uniqueCount="86">
  <si>
    <r>
      <rPr>
        <rFont val="맑은 고딕"/>
        <b/>
        <color rgb="FFFFFFFF"/>
        <sz val="14.0"/>
      </rPr>
      <t>도미노피자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재고</t>
    </r>
    <r>
      <rPr>
        <rFont val="Calibri"/>
        <b/>
        <color rgb="FFFFFFFF"/>
        <sz val="14.0"/>
      </rPr>
      <t>·</t>
    </r>
    <r>
      <rPr>
        <rFont val="맑은 고딕"/>
        <b/>
        <color rgb="FFFFFFFF"/>
        <sz val="14.0"/>
      </rPr>
      <t>발주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자동화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패키지</t>
    </r>
  </si>
  <si>
    <t>패키지 사용 안내</t>
  </si>
  <si>
    <t>실습 목표</t>
  </si>
  <si>
    <r>
      <rPr>
        <rFont val="맑은 고딕"/>
        <color theme="1"/>
        <sz val="11.0"/>
      </rPr>
      <t>재고를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확인하고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재고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부족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품목을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찾고</t>
    </r>
    <r>
      <rPr>
        <rFont val="Calibri"/>
        <color theme="1"/>
        <sz val="11.0"/>
      </rPr>
      <t xml:space="preserve">, </t>
    </r>
    <r>
      <rPr>
        <rFont val="맑은 고딕"/>
        <color theme="1"/>
        <sz val="11.0"/>
      </rPr>
      <t>담당자에게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알림을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보여준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발주서와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이메일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초안을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만드는</t>
    </r>
    <r>
      <rPr>
        <rFont val="Calibri"/>
        <color theme="1"/>
        <sz val="11.0"/>
      </rPr>
      <t xml:space="preserve"> MVP</t>
    </r>
    <r>
      <rPr>
        <rFont val="맑은 고딕"/>
        <color theme="1"/>
        <sz val="11.0"/>
      </rPr>
      <t>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구현합니다.</t>
    </r>
  </si>
  <si>
    <t>재고 부족 기준</t>
  </si>
  <si>
    <t>현재재고 &lt; 안전재고</t>
  </si>
  <si>
    <t>발주 권장 수량</t>
  </si>
  <si>
    <t>현재재고가 안전재고보다 적으면 MAX(MOQ, 안전재고-현재재고)</t>
  </si>
  <si>
    <t>재료 10개</t>
  </si>
  <si>
    <t>도우볼</t>
  </si>
  <si>
    <t>주의</t>
  </si>
  <si>
    <t>토마토소스</t>
  </si>
  <si>
    <t>모짜렐라치즈</t>
  </si>
  <si>
    <t>페퍼로니</t>
  </si>
  <si>
    <t>베이컨</t>
  </si>
  <si>
    <t>양파</t>
  </si>
  <si>
    <t>피망</t>
  </si>
  <si>
    <t>양송이버섯</t>
  </si>
  <si>
    <t>블랙올리브</t>
  </si>
  <si>
    <t>스위트콘</t>
  </si>
  <si>
    <t>거래처명</t>
  </si>
  <si>
    <t>담당자</t>
  </si>
  <si>
    <t>이메일</t>
  </si>
  <si>
    <t>리드타임(일)</t>
  </si>
  <si>
    <t>품목군</t>
  </si>
  <si>
    <t>도미노푸드서플라이</t>
  </si>
  <si>
    <t>박지훈</t>
  </si>
  <si>
    <t>jysong@chonf.co.kr</t>
  </si>
  <si>
    <t>도우/소스/치즈</t>
  </si>
  <si>
    <t>프레시미트코리아</t>
  </si>
  <si>
    <t>김현우</t>
  </si>
  <si>
    <t>페퍼로니/베이컨</t>
  </si>
  <si>
    <t>그린베지유통</t>
  </si>
  <si>
    <t>이수진</t>
  </si>
  <si>
    <t>양파/피망/버섯</t>
  </si>
  <si>
    <t>토핑솔루션</t>
  </si>
  <si>
    <t>정민아</t>
  </si>
  <si>
    <t>올리브/콘</t>
  </si>
  <si>
    <t>품목코드</t>
  </si>
  <si>
    <t>재료명</t>
  </si>
  <si>
    <t>규격</t>
  </si>
  <si>
    <t>단위</t>
  </si>
  <si>
    <t>현재재고</t>
  </si>
  <si>
    <t>안전재고</t>
  </si>
  <si>
    <t>MOQ</t>
  </si>
  <si>
    <t>거래처</t>
  </si>
  <si>
    <t>알림담당자</t>
  </si>
  <si>
    <t>거래처이메일</t>
  </si>
  <si>
    <t>부족수량</t>
  </si>
  <si>
    <t>발주권장수량</t>
  </si>
  <si>
    <t>상태</t>
  </si>
  <si>
    <t>담당자알림메시지</t>
  </si>
  <si>
    <t>ING001</t>
  </si>
  <si>
    <t>220g</t>
  </si>
  <si>
    <t>개</t>
  </si>
  <si>
    <t>점포 운영매니저</t>
  </si>
  <si>
    <t>ING002</t>
  </si>
  <si>
    <t>3kg</t>
  </si>
  <si>
    <t>팩</t>
  </si>
  <si>
    <t>ING003</t>
  </si>
  <si>
    <t>2kg</t>
  </si>
  <si>
    <t>봉</t>
  </si>
  <si>
    <t>ING004</t>
  </si>
  <si>
    <t>1kg</t>
  </si>
  <si>
    <t>ING005</t>
  </si>
  <si>
    <t>ING006</t>
  </si>
  <si>
    <t>5kg</t>
  </si>
  <si>
    <t>ING007</t>
  </si>
  <si>
    <t>ING008</t>
  </si>
  <si>
    <t>2.5kg</t>
  </si>
  <si>
    <t>캔</t>
  </si>
  <si>
    <t>ING009</t>
  </si>
  <si>
    <t>ING010</t>
  </si>
  <si>
    <r>
      <rPr>
        <rFont val="맑은 고딕"/>
        <b/>
        <color rgb="FFFFFFFF"/>
        <sz val="14.0"/>
      </rPr>
      <t>도미노피자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발주</t>
    </r>
    <r>
      <rPr>
        <rFont val="Calibri"/>
        <b/>
        <color rgb="FFFFFFFF"/>
        <sz val="14.0"/>
      </rPr>
      <t xml:space="preserve"> </t>
    </r>
    <r>
      <rPr>
        <rFont val="맑은 고딕"/>
        <b/>
        <color rgb="FFFFFFFF"/>
        <sz val="14.0"/>
      </rPr>
      <t>요약</t>
    </r>
  </si>
  <si>
    <t>총 품목 수</t>
  </si>
  <si>
    <t>발주 필요 품목 수</t>
  </si>
  <si>
    <t>전체 권장 발주 수량</t>
  </si>
  <si>
    <t>오늘 상태</t>
  </si>
  <si>
    <t>거래처별 발주 필요 현황</t>
  </si>
  <si>
    <t>총 권장 발주 수량</t>
  </si>
  <si>
    <t>담당자 이메일</t>
  </si>
  <si>
    <t>발주 이메일 템플릿</t>
  </si>
  <si>
    <t>제목 템플릿</t>
  </si>
  <si>
    <t>[발주요청] {{STORE_NAME}} / {{SUPPLIER_NAME}} / {{ORDER_DATE}}</t>
  </si>
  <si>
    <t>본문 템플릿</t>
  </si>
  <si>
    <t>안녕하세요 {{SUPPLIER_NAME}} 담당자님.
도미노피자 {{STORE_NAME}}입니다.
아래 품목에 대해 발주 요청드립니다.
{{ITEM_LIST}}
첨부한 발주서 확인 부탁드립니다.
감사합니다.
{{INTERNAL_OWNER}}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</si>
</sst>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1F1F1F"/>
      <name val="Calibri"/>
    </font>
    <font>
      <sz val="11.0"/>
      <color theme="1"/>
      <name val="Calibri"/>
    </font>
    <font>
      <sz val="11.0"/>
      <color theme="10"/>
      <name val="Calibri"/>
    </font>
    <font>
      <sz val="11.0"/>
      <color rgb="FF008000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DDEBF7"/>
        <bgColor rgb="FFDDEBF7"/>
      </patternFill>
    </fill>
    <fill>
      <patternFill patternType="solid">
        <fgColor rgb="FFFDE9D9"/>
        <bgColor rgb="FFFDE9D9"/>
      </patternFill>
    </fill>
    <fill>
      <patternFill patternType="solid">
        <fgColor rgb="FFEAF2FF"/>
        <bgColor rgb="FFEAF2FF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4" fillId="4" fontId="3" numFmtId="0" xfId="0" applyBorder="1" applyFill="1" applyFont="1"/>
    <xf borderId="5" fillId="0" fontId="4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4" numFmtId="0" xfId="0" applyBorder="1" applyFont="1"/>
    <xf borderId="4" fillId="5" fontId="3" numFmtId="0" xfId="0" applyBorder="1" applyFill="1" applyFont="1"/>
    <xf borderId="5" fillId="0" fontId="4" numFmtId="0" xfId="0" applyBorder="1" applyFont="1"/>
    <xf borderId="4" fillId="4" fontId="3" numFmtId="0" xfId="0" applyAlignment="1" applyBorder="1" applyFont="1">
      <alignment horizontal="center"/>
    </xf>
    <xf borderId="4" fillId="0" fontId="5" numFmtId="0" xfId="0" applyAlignment="1" applyBorder="1" applyFont="1">
      <alignment readingOrder="0"/>
    </xf>
    <xf borderId="4" fillId="4" fontId="3" numFmtId="0" xfId="0" applyAlignment="1" applyBorder="1" applyFont="1">
      <alignment horizontal="center" vertical="center"/>
    </xf>
    <xf borderId="4" fillId="6" fontId="4" numFmtId="0" xfId="0" applyBorder="1" applyFill="1" applyFont="1"/>
    <xf borderId="4" fillId="6" fontId="4" numFmtId="1" xfId="0" applyBorder="1" applyFont="1" applyNumberFormat="1"/>
    <xf borderId="4" fillId="7" fontId="6" numFmtId="0" xfId="0" applyBorder="1" applyFill="1" applyFont="1"/>
    <xf borderId="4" fillId="7" fontId="4" numFmtId="0" xfId="0" applyBorder="1" applyFont="1"/>
    <xf borderId="4" fillId="7" fontId="4" numFmtId="1" xfId="0" applyBorder="1" applyFont="1" applyNumberFormat="1"/>
    <xf borderId="1" fillId="2" fontId="1" numFmtId="0" xfId="0" applyAlignment="1" applyBorder="1" applyFont="1">
      <alignment horizontal="center"/>
    </xf>
    <xf borderId="4" fillId="8" fontId="7" numFmtId="0" xfId="0" applyBorder="1" applyFill="1" applyFont="1"/>
    <xf borderId="4" fillId="8" fontId="7" numFmtId="1" xfId="0" applyBorder="1" applyFont="1" applyNumberFormat="1"/>
    <xf borderId="4" fillId="5" fontId="7" numFmtId="0" xfId="0" applyBorder="1" applyFont="1"/>
    <xf borderId="8" fillId="4" fontId="3" numFmtId="0" xfId="0" applyBorder="1" applyFont="1"/>
    <xf borderId="0" fillId="0" fontId="4" numFmtId="0" xfId="0" applyFon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86"/>
    <col customWidth="1" min="2" max="2" width="18.0"/>
    <col customWidth="1" min="3" max="5" width="15.0"/>
    <col customWidth="1" min="6" max="6" width="20.0"/>
    <col customWidth="1" min="7" max="8" width="18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4" t="s">
        <v>1</v>
      </c>
      <c r="B3" s="2"/>
      <c r="C3" s="2"/>
      <c r="D3" s="2"/>
      <c r="E3" s="2"/>
      <c r="F3" s="2"/>
      <c r="G3" s="2"/>
      <c r="H3" s="3"/>
    </row>
    <row r="4" ht="14.25" customHeight="1"/>
    <row r="5" ht="14.25" customHeight="1">
      <c r="A5" s="5" t="s">
        <v>2</v>
      </c>
      <c r="B5" s="6" t="s">
        <v>3</v>
      </c>
      <c r="C5" s="7"/>
      <c r="D5" s="7"/>
      <c r="E5" s="7"/>
      <c r="F5" s="7"/>
      <c r="G5" s="7"/>
      <c r="H5" s="8"/>
    </row>
    <row r="6" ht="14.25" customHeight="1">
      <c r="A6" s="5" t="s">
        <v>4</v>
      </c>
      <c r="B6" s="6" t="s">
        <v>5</v>
      </c>
      <c r="C6" s="7"/>
      <c r="D6" s="7"/>
      <c r="E6" s="7"/>
      <c r="F6" s="7"/>
      <c r="G6" s="7"/>
      <c r="H6" s="8"/>
    </row>
    <row r="7" ht="14.25" customHeight="1">
      <c r="A7" s="5" t="s">
        <v>6</v>
      </c>
      <c r="B7" s="6" t="s">
        <v>7</v>
      </c>
      <c r="C7" s="7"/>
      <c r="D7" s="7"/>
      <c r="E7" s="7"/>
      <c r="F7" s="7"/>
      <c r="G7" s="7"/>
      <c r="H7" s="8"/>
    </row>
    <row r="8" ht="14.25" customHeight="1"/>
    <row r="9" ht="14.25" customHeight="1"/>
    <row r="10" ht="14.25" customHeight="1">
      <c r="A10" s="4" t="s">
        <v>8</v>
      </c>
      <c r="B10" s="2"/>
      <c r="C10" s="2"/>
      <c r="D10" s="2"/>
      <c r="E10" s="2"/>
      <c r="F10" s="2"/>
      <c r="G10" s="2"/>
      <c r="H10" s="3"/>
    </row>
    <row r="11" ht="14.25" customHeight="1">
      <c r="A11" s="9">
        <v>1.0</v>
      </c>
      <c r="B11" s="9" t="s">
        <v>9</v>
      </c>
      <c r="D11" s="10" t="s">
        <v>10</v>
      </c>
      <c r="E11" s="11"/>
      <c r="F11" s="7"/>
      <c r="G11" s="7"/>
      <c r="H11" s="8"/>
    </row>
    <row r="12" ht="14.25" customHeight="1">
      <c r="A12" s="9">
        <v>2.0</v>
      </c>
      <c r="B12" s="9" t="s">
        <v>11</v>
      </c>
    </row>
    <row r="13" ht="14.25" customHeight="1">
      <c r="A13" s="9">
        <v>3.0</v>
      </c>
      <c r="B13" s="9" t="s">
        <v>12</v>
      </c>
    </row>
    <row r="14" ht="14.25" customHeight="1">
      <c r="A14" s="9">
        <v>4.0</v>
      </c>
      <c r="B14" s="9" t="s">
        <v>13</v>
      </c>
    </row>
    <row r="15" ht="14.25" customHeight="1">
      <c r="A15" s="9">
        <v>5.0</v>
      </c>
      <c r="B15" s="9" t="s">
        <v>14</v>
      </c>
    </row>
    <row r="16" ht="14.25" customHeight="1">
      <c r="A16" s="9">
        <v>6.0</v>
      </c>
      <c r="B16" s="9" t="s">
        <v>15</v>
      </c>
    </row>
    <row r="17" ht="14.25" customHeight="1">
      <c r="A17" s="9">
        <v>7.0</v>
      </c>
      <c r="B17" s="9" t="s">
        <v>16</v>
      </c>
    </row>
    <row r="18" ht="14.25" customHeight="1">
      <c r="A18" s="9">
        <v>8.0</v>
      </c>
      <c r="B18" s="9" t="s">
        <v>17</v>
      </c>
    </row>
    <row r="19" ht="14.25" customHeight="1">
      <c r="A19" s="9">
        <v>9.0</v>
      </c>
      <c r="B19" s="9" t="s">
        <v>18</v>
      </c>
    </row>
    <row r="20" ht="14.25" customHeight="1">
      <c r="A20" s="9">
        <v>10.0</v>
      </c>
      <c r="B20" s="9" t="s">
        <v>19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3:H3"/>
    <mergeCell ref="B5:H5"/>
    <mergeCell ref="B6:H6"/>
    <mergeCell ref="B7:H7"/>
    <mergeCell ref="A10:H10"/>
    <mergeCell ref="E11:H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28.0"/>
    <col customWidth="1" min="4" max="4" width="12.0"/>
    <col customWidth="1" min="5" max="5" width="16.0"/>
    <col customWidth="1" min="6" max="26" width="8.71"/>
  </cols>
  <sheetData>
    <row r="1" ht="14.25" customHeight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</row>
    <row r="2" ht="14.25" customHeight="1">
      <c r="A2" s="9" t="s">
        <v>25</v>
      </c>
      <c r="B2" s="9" t="s">
        <v>26</v>
      </c>
      <c r="C2" s="13" t="s">
        <v>27</v>
      </c>
      <c r="D2" s="9">
        <v>2.0</v>
      </c>
      <c r="E2" s="9" t="s">
        <v>28</v>
      </c>
    </row>
    <row r="3" ht="14.25" customHeight="1">
      <c r="A3" s="9" t="s">
        <v>29</v>
      </c>
      <c r="B3" s="9" t="s">
        <v>30</v>
      </c>
      <c r="C3" s="13" t="s">
        <v>27</v>
      </c>
      <c r="D3" s="9">
        <v>3.0</v>
      </c>
      <c r="E3" s="9" t="s">
        <v>31</v>
      </c>
    </row>
    <row r="4" ht="14.25" customHeight="1">
      <c r="A4" s="9" t="s">
        <v>32</v>
      </c>
      <c r="B4" s="9" t="s">
        <v>33</v>
      </c>
      <c r="C4" s="13" t="s">
        <v>27</v>
      </c>
      <c r="D4" s="9">
        <v>1.0</v>
      </c>
      <c r="E4" s="9" t="s">
        <v>34</v>
      </c>
    </row>
    <row r="5" ht="14.25" customHeight="1">
      <c r="A5" s="9" t="s">
        <v>35</v>
      </c>
      <c r="B5" s="9" t="s">
        <v>36</v>
      </c>
      <c r="C5" s="13" t="s">
        <v>27</v>
      </c>
      <c r="D5" s="9">
        <v>2.0</v>
      </c>
      <c r="E5" s="9" t="s">
        <v>37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8.0"/>
    <col customWidth="1" min="5" max="7" width="10.0"/>
    <col customWidth="1" min="8" max="8" width="20.0"/>
    <col customWidth="1" min="9" max="9" width="16.0"/>
    <col customWidth="1" min="10" max="10" width="28.0"/>
    <col customWidth="1" min="11" max="11" width="12.0"/>
    <col customWidth="1" min="12" max="12" width="10.0"/>
    <col customWidth="1" min="13" max="13" width="12.0"/>
    <col customWidth="1" min="14" max="14" width="10.0"/>
    <col customWidth="1" min="15" max="15" width="62.86"/>
    <col customWidth="1" min="16" max="26" width="8.71"/>
  </cols>
  <sheetData>
    <row r="1" ht="14.25" customHeight="1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4" t="s">
        <v>44</v>
      </c>
      <c r="H1" s="14" t="s">
        <v>45</v>
      </c>
      <c r="I1" s="14" t="s">
        <v>46</v>
      </c>
      <c r="J1" s="14" t="s">
        <v>47</v>
      </c>
      <c r="K1" s="14" t="s">
        <v>23</v>
      </c>
      <c r="L1" s="14" t="s">
        <v>48</v>
      </c>
      <c r="M1" s="14" t="s">
        <v>49</v>
      </c>
      <c r="N1" s="14" t="s">
        <v>50</v>
      </c>
      <c r="O1" s="14" t="s">
        <v>51</v>
      </c>
    </row>
    <row r="2" ht="14.25" customHeight="1">
      <c r="A2" s="15" t="s">
        <v>52</v>
      </c>
      <c r="B2" s="15" t="s">
        <v>9</v>
      </c>
      <c r="C2" s="15" t="s">
        <v>53</v>
      </c>
      <c r="D2" s="15" t="s">
        <v>54</v>
      </c>
      <c r="E2" s="16">
        <v>120.0</v>
      </c>
      <c r="F2" s="16">
        <v>180.0</v>
      </c>
      <c r="G2" s="16">
        <v>100.0</v>
      </c>
      <c r="H2" s="15" t="s">
        <v>25</v>
      </c>
      <c r="I2" s="15" t="s">
        <v>55</v>
      </c>
      <c r="J2" s="17" t="str">
        <f>VLOOKUP(H2,Suppliers!$A$2:$E$10,3,FALSE)</f>
        <v>jysong@chonf.co.kr</v>
      </c>
      <c r="K2" s="18">
        <f>VLOOKUP(H2,Suppliers!$A$2:$E$10,4,FALSE)</f>
        <v>2</v>
      </c>
      <c r="L2" s="19">
        <f t="shared" ref="L2:L11" si="1">MAX(F2-E2,0)</f>
        <v>60</v>
      </c>
      <c r="M2" s="19">
        <f t="shared" ref="M2:M11" si="2">IF(E2&lt;F2,MAX(G2,L2),0)</f>
        <v>100</v>
      </c>
      <c r="N2" s="18" t="str">
        <f t="shared" ref="N2:N11" si="3">IF(E2&lt;F2,"발주 필요","정상")</f>
        <v>발주 필요</v>
      </c>
      <c r="O2" s="18" t="str">
        <f t="shared" ref="O2:O11" si="4">IF(N2="발주 필요",B2&amp;" 재고 부족 - 현재 "&amp;TEXT(E2,"0")&amp;D2&amp;", 안전재고 "&amp;TEXT(F2,"0")&amp;D2&amp;", 권장발주 "&amp;TEXT(M2,"0")&amp;D2,"")</f>
        <v>도우볼 재고 부족 - 현재 120개, 안전재고 180개, 권장발주 100개</v>
      </c>
    </row>
    <row r="3" ht="14.25" customHeight="1">
      <c r="A3" s="15" t="s">
        <v>56</v>
      </c>
      <c r="B3" s="15" t="s">
        <v>11</v>
      </c>
      <c r="C3" s="15" t="s">
        <v>57</v>
      </c>
      <c r="D3" s="15" t="s">
        <v>58</v>
      </c>
      <c r="E3" s="16">
        <v>32.0</v>
      </c>
      <c r="F3" s="16">
        <v>20.0</v>
      </c>
      <c r="G3" s="16">
        <v>10.0</v>
      </c>
      <c r="H3" s="15" t="s">
        <v>25</v>
      </c>
      <c r="I3" s="15" t="s">
        <v>55</v>
      </c>
      <c r="J3" s="17" t="str">
        <f>VLOOKUP(H3,Suppliers!$A$2:$E$10,3,FALSE)</f>
        <v>jysong@chonf.co.kr</v>
      </c>
      <c r="K3" s="18">
        <f>VLOOKUP(H3,Suppliers!$A$2:$E$10,4,FALSE)</f>
        <v>2</v>
      </c>
      <c r="L3" s="19">
        <f t="shared" si="1"/>
        <v>0</v>
      </c>
      <c r="M3" s="19">
        <f t="shared" si="2"/>
        <v>0</v>
      </c>
      <c r="N3" s="18" t="str">
        <f t="shared" si="3"/>
        <v>정상</v>
      </c>
      <c r="O3" s="18" t="str">
        <f t="shared" si="4"/>
        <v/>
      </c>
    </row>
    <row r="4" ht="14.25" customHeight="1">
      <c r="A4" s="15" t="s">
        <v>59</v>
      </c>
      <c r="B4" s="15" t="s">
        <v>12</v>
      </c>
      <c r="C4" s="15" t="s">
        <v>60</v>
      </c>
      <c r="D4" s="15" t="s">
        <v>61</v>
      </c>
      <c r="E4" s="16">
        <v>12.0</v>
      </c>
      <c r="F4" s="16">
        <v>18.0</v>
      </c>
      <c r="G4" s="16">
        <v>10.0</v>
      </c>
      <c r="H4" s="15" t="s">
        <v>25</v>
      </c>
      <c r="I4" s="15" t="s">
        <v>55</v>
      </c>
      <c r="J4" s="17" t="str">
        <f>VLOOKUP(H4,Suppliers!$A$2:$E$10,3,FALSE)</f>
        <v>jysong@chonf.co.kr</v>
      </c>
      <c r="K4" s="18">
        <f>VLOOKUP(H4,Suppliers!$A$2:$E$10,4,FALSE)</f>
        <v>2</v>
      </c>
      <c r="L4" s="19">
        <f t="shared" si="1"/>
        <v>6</v>
      </c>
      <c r="M4" s="19">
        <f t="shared" si="2"/>
        <v>10</v>
      </c>
      <c r="N4" s="18" t="str">
        <f t="shared" si="3"/>
        <v>발주 필요</v>
      </c>
      <c r="O4" s="18" t="str">
        <f t="shared" si="4"/>
        <v>모짜렐라치즈 재고 부족 - 현재 12봉, 안전재고 18봉, 권장발주 10봉</v>
      </c>
    </row>
    <row r="5" ht="14.25" customHeight="1">
      <c r="A5" s="15" t="s">
        <v>62</v>
      </c>
      <c r="B5" s="15" t="s">
        <v>13</v>
      </c>
      <c r="C5" s="15" t="s">
        <v>63</v>
      </c>
      <c r="D5" s="15" t="s">
        <v>58</v>
      </c>
      <c r="E5" s="16">
        <v>15.0</v>
      </c>
      <c r="F5" s="16">
        <v>12.0</v>
      </c>
      <c r="G5" s="16">
        <v>8.0</v>
      </c>
      <c r="H5" s="15" t="s">
        <v>29</v>
      </c>
      <c r="I5" s="15" t="s">
        <v>55</v>
      </c>
      <c r="J5" s="17" t="str">
        <f>VLOOKUP(H5,Suppliers!$A$2:$E$10,3,FALSE)</f>
        <v>jysong@chonf.co.kr</v>
      </c>
      <c r="K5" s="18">
        <f>VLOOKUP(H5,Suppliers!$A$2:$E$10,4,FALSE)</f>
        <v>3</v>
      </c>
      <c r="L5" s="19">
        <f t="shared" si="1"/>
        <v>0</v>
      </c>
      <c r="M5" s="19">
        <f t="shared" si="2"/>
        <v>0</v>
      </c>
      <c r="N5" s="18" t="str">
        <f t="shared" si="3"/>
        <v>정상</v>
      </c>
      <c r="O5" s="18" t="str">
        <f t="shared" si="4"/>
        <v/>
      </c>
    </row>
    <row r="6" ht="14.25" customHeight="1">
      <c r="A6" s="15" t="s">
        <v>64</v>
      </c>
      <c r="B6" s="15" t="s">
        <v>14</v>
      </c>
      <c r="C6" s="15" t="s">
        <v>63</v>
      </c>
      <c r="D6" s="15" t="s">
        <v>58</v>
      </c>
      <c r="E6" s="16">
        <v>6.0</v>
      </c>
      <c r="F6" s="16">
        <v>10.0</v>
      </c>
      <c r="G6" s="16">
        <v>10.0</v>
      </c>
      <c r="H6" s="15" t="s">
        <v>29</v>
      </c>
      <c r="I6" s="15" t="s">
        <v>55</v>
      </c>
      <c r="J6" s="17" t="str">
        <f>VLOOKUP(H6,Suppliers!$A$2:$E$10,3,FALSE)</f>
        <v>jysong@chonf.co.kr</v>
      </c>
      <c r="K6" s="18">
        <f>VLOOKUP(H6,Suppliers!$A$2:$E$10,4,FALSE)</f>
        <v>3</v>
      </c>
      <c r="L6" s="19">
        <f t="shared" si="1"/>
        <v>4</v>
      </c>
      <c r="M6" s="19">
        <f t="shared" si="2"/>
        <v>10</v>
      </c>
      <c r="N6" s="18" t="str">
        <f t="shared" si="3"/>
        <v>발주 필요</v>
      </c>
      <c r="O6" s="18" t="str">
        <f t="shared" si="4"/>
        <v>베이컨 재고 부족 - 현재 6팩, 안전재고 10팩, 권장발주 10팩</v>
      </c>
    </row>
    <row r="7" ht="14.25" customHeight="1">
      <c r="A7" s="15" t="s">
        <v>65</v>
      </c>
      <c r="B7" s="15" t="s">
        <v>15</v>
      </c>
      <c r="C7" s="15" t="s">
        <v>66</v>
      </c>
      <c r="D7" s="15" t="s">
        <v>61</v>
      </c>
      <c r="E7" s="16">
        <v>14.0</v>
      </c>
      <c r="F7" s="16">
        <v>12.0</v>
      </c>
      <c r="G7" s="16">
        <v>6.0</v>
      </c>
      <c r="H7" s="15" t="s">
        <v>32</v>
      </c>
      <c r="I7" s="15" t="s">
        <v>55</v>
      </c>
      <c r="J7" s="17" t="str">
        <f>VLOOKUP(H7,Suppliers!$A$2:$E$10,3,FALSE)</f>
        <v>jysong@chonf.co.kr</v>
      </c>
      <c r="K7" s="18">
        <f>VLOOKUP(H7,Suppliers!$A$2:$E$10,4,FALSE)</f>
        <v>1</v>
      </c>
      <c r="L7" s="19">
        <f t="shared" si="1"/>
        <v>0</v>
      </c>
      <c r="M7" s="19">
        <f t="shared" si="2"/>
        <v>0</v>
      </c>
      <c r="N7" s="18" t="str">
        <f t="shared" si="3"/>
        <v>정상</v>
      </c>
      <c r="O7" s="18" t="str">
        <f t="shared" si="4"/>
        <v/>
      </c>
    </row>
    <row r="8" ht="14.25" customHeight="1">
      <c r="A8" s="15" t="s">
        <v>67</v>
      </c>
      <c r="B8" s="15" t="s">
        <v>16</v>
      </c>
      <c r="C8" s="15" t="s">
        <v>66</v>
      </c>
      <c r="D8" s="15" t="s">
        <v>61</v>
      </c>
      <c r="E8" s="16">
        <v>5.0</v>
      </c>
      <c r="F8" s="16">
        <v>8.0</v>
      </c>
      <c r="G8" s="16">
        <v>5.0</v>
      </c>
      <c r="H8" s="15" t="s">
        <v>32</v>
      </c>
      <c r="I8" s="15" t="s">
        <v>55</v>
      </c>
      <c r="J8" s="17" t="str">
        <f>VLOOKUP(H8,Suppliers!$A$2:$E$10,3,FALSE)</f>
        <v>jysong@chonf.co.kr</v>
      </c>
      <c r="K8" s="18">
        <f>VLOOKUP(H8,Suppliers!$A$2:$E$10,4,FALSE)</f>
        <v>1</v>
      </c>
      <c r="L8" s="19">
        <f t="shared" si="1"/>
        <v>3</v>
      </c>
      <c r="M8" s="19">
        <f t="shared" si="2"/>
        <v>5</v>
      </c>
      <c r="N8" s="18" t="str">
        <f t="shared" si="3"/>
        <v>발주 필요</v>
      </c>
      <c r="O8" s="18" t="str">
        <f t="shared" si="4"/>
        <v>피망 재고 부족 - 현재 5봉, 안전재고 8봉, 권장발주 5봉</v>
      </c>
    </row>
    <row r="9" ht="14.25" customHeight="1">
      <c r="A9" s="15" t="s">
        <v>68</v>
      </c>
      <c r="B9" s="15" t="s">
        <v>17</v>
      </c>
      <c r="C9" s="15" t="s">
        <v>69</v>
      </c>
      <c r="D9" s="15" t="s">
        <v>70</v>
      </c>
      <c r="E9" s="16">
        <v>3.0</v>
      </c>
      <c r="F9" s="16">
        <v>6.0</v>
      </c>
      <c r="G9" s="16">
        <v>6.0</v>
      </c>
      <c r="H9" s="15" t="s">
        <v>32</v>
      </c>
      <c r="I9" s="15" t="s">
        <v>55</v>
      </c>
      <c r="J9" s="17" t="str">
        <f>VLOOKUP(H9,Suppliers!$A$2:$E$10,3,FALSE)</f>
        <v>jysong@chonf.co.kr</v>
      </c>
      <c r="K9" s="18">
        <f>VLOOKUP(H9,Suppliers!$A$2:$E$10,4,FALSE)</f>
        <v>1</v>
      </c>
      <c r="L9" s="19">
        <f t="shared" si="1"/>
        <v>3</v>
      </c>
      <c r="M9" s="19">
        <f t="shared" si="2"/>
        <v>6</v>
      </c>
      <c r="N9" s="18" t="str">
        <f t="shared" si="3"/>
        <v>발주 필요</v>
      </c>
      <c r="O9" s="18" t="str">
        <f t="shared" si="4"/>
        <v>양송이버섯 재고 부족 - 현재 3캔, 안전재고 6캔, 권장발주 6캔</v>
      </c>
    </row>
    <row r="10" ht="14.25" customHeight="1">
      <c r="A10" s="15" t="s">
        <v>71</v>
      </c>
      <c r="B10" s="15" t="s">
        <v>18</v>
      </c>
      <c r="C10" s="15" t="s">
        <v>57</v>
      </c>
      <c r="D10" s="15" t="s">
        <v>70</v>
      </c>
      <c r="E10" s="16">
        <v>9.0</v>
      </c>
      <c r="F10" s="16">
        <v>8.0</v>
      </c>
      <c r="G10" s="16">
        <v>4.0</v>
      </c>
      <c r="H10" s="15" t="s">
        <v>35</v>
      </c>
      <c r="I10" s="15" t="s">
        <v>55</v>
      </c>
      <c r="J10" s="17" t="str">
        <f>VLOOKUP(H10,Suppliers!$A$2:$E$10,3,FALSE)</f>
        <v>jysong@chonf.co.kr</v>
      </c>
      <c r="K10" s="18">
        <f>VLOOKUP(H10,Suppliers!$A$2:$E$10,4,FALSE)</f>
        <v>2</v>
      </c>
      <c r="L10" s="19">
        <f t="shared" si="1"/>
        <v>0</v>
      </c>
      <c r="M10" s="19">
        <f t="shared" si="2"/>
        <v>0</v>
      </c>
      <c r="N10" s="18" t="str">
        <f t="shared" si="3"/>
        <v>정상</v>
      </c>
      <c r="O10" s="18" t="str">
        <f t="shared" si="4"/>
        <v/>
      </c>
    </row>
    <row r="11" ht="14.25" customHeight="1">
      <c r="A11" s="15" t="s">
        <v>72</v>
      </c>
      <c r="B11" s="15" t="s">
        <v>19</v>
      </c>
      <c r="C11" s="15" t="s">
        <v>57</v>
      </c>
      <c r="D11" s="15" t="s">
        <v>70</v>
      </c>
      <c r="E11" s="16">
        <v>4.0</v>
      </c>
      <c r="F11" s="16">
        <v>5.0</v>
      </c>
      <c r="G11" s="16">
        <v>6.0</v>
      </c>
      <c r="H11" s="15" t="s">
        <v>35</v>
      </c>
      <c r="I11" s="15" t="s">
        <v>55</v>
      </c>
      <c r="J11" s="17" t="str">
        <f>VLOOKUP(H11,Suppliers!$A$2:$E$10,3,FALSE)</f>
        <v>jysong@chonf.co.kr</v>
      </c>
      <c r="K11" s="18">
        <f>VLOOKUP(H11,Suppliers!$A$2:$E$10,4,FALSE)</f>
        <v>2</v>
      </c>
      <c r="L11" s="19">
        <f t="shared" si="1"/>
        <v>1</v>
      </c>
      <c r="M11" s="19">
        <f t="shared" si="2"/>
        <v>6</v>
      </c>
      <c r="N11" s="18" t="str">
        <f t="shared" si="3"/>
        <v>발주 필요</v>
      </c>
      <c r="O11" s="18" t="str">
        <f t="shared" si="4"/>
        <v>스위트콘 재고 부족 - 현재 4캔, 안전재고 5캔, 권장발주 6캔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6.0"/>
    <col customWidth="1" min="4" max="4" width="28.0"/>
    <col customWidth="1" min="5" max="8" width="12.0"/>
    <col customWidth="1" min="9" max="26" width="8.71"/>
  </cols>
  <sheetData>
    <row r="1" ht="27.75" customHeight="1">
      <c r="A1" s="20" t="s">
        <v>73</v>
      </c>
      <c r="B1" s="2"/>
      <c r="C1" s="2"/>
      <c r="D1" s="2"/>
      <c r="E1" s="2"/>
      <c r="F1" s="2"/>
      <c r="G1" s="2"/>
      <c r="H1" s="3"/>
    </row>
    <row r="2" ht="14.25" customHeight="1"/>
    <row r="3" ht="14.25" customHeight="1">
      <c r="A3" s="5" t="s">
        <v>74</v>
      </c>
      <c r="B3" s="21">
        <f>COUNTA(Inventory!A2:A11)</f>
        <v>10</v>
      </c>
    </row>
    <row r="4" ht="14.25" customHeight="1">
      <c r="A4" s="5" t="s">
        <v>75</v>
      </c>
      <c r="B4" s="21">
        <f>COUNTIF(Inventory!N2:N11,"발주 필요")</f>
        <v>6</v>
      </c>
    </row>
    <row r="5" ht="14.25" customHeight="1">
      <c r="A5" s="5" t="s">
        <v>76</v>
      </c>
      <c r="B5" s="22">
        <f>SUM(Inventory!M2:M11)</f>
        <v>137</v>
      </c>
    </row>
    <row r="6" ht="14.25" customHeight="1">
      <c r="A6" s="5" t="s">
        <v>77</v>
      </c>
      <c r="B6" s="23" t="str">
        <f>IF(B4&gt;0,"담당자 확인 필요","정상")</f>
        <v>담당자 확인 필요</v>
      </c>
    </row>
    <row r="7" ht="14.25" customHeight="1"/>
    <row r="8" ht="14.25" customHeight="1">
      <c r="A8" s="4" t="s">
        <v>78</v>
      </c>
      <c r="B8" s="2"/>
      <c r="C8" s="2"/>
      <c r="D8" s="2"/>
      <c r="E8" s="2"/>
      <c r="F8" s="2"/>
      <c r="G8" s="2"/>
      <c r="H8" s="3"/>
    </row>
    <row r="9" ht="14.25" customHeight="1"/>
    <row r="10" ht="14.25" customHeight="1">
      <c r="A10" s="5" t="s">
        <v>20</v>
      </c>
      <c r="B10" s="5" t="s">
        <v>75</v>
      </c>
      <c r="C10" s="5" t="s">
        <v>79</v>
      </c>
      <c r="D10" s="5" t="s">
        <v>80</v>
      </c>
      <c r="E10" s="5" t="s">
        <v>23</v>
      </c>
    </row>
    <row r="11" ht="14.25" customHeight="1">
      <c r="A11" s="9" t="s">
        <v>25</v>
      </c>
      <c r="B11" s="9">
        <f>COUNTIFS(Inventory!$H$2:$H$11,A11,Inventory!$N$2:$N$11,"발주 필요")</f>
        <v>2</v>
      </c>
      <c r="C11" s="9">
        <f>SUMIFS(Inventory!$M$2:$M$11,Inventory!$H$2:$H$11,A11,Inventory!$N$2:$N$11,"발주 필요")</f>
        <v>110</v>
      </c>
      <c r="D11" s="9" t="str">
        <f>VLOOKUP(A11,Suppliers!$A$2:$E$10,3,FALSE)</f>
        <v>jysong@chonf.co.kr</v>
      </c>
      <c r="E11" s="9">
        <f>VLOOKUP(A11,Suppliers!$A$2:$E$10,4,FALSE)</f>
        <v>2</v>
      </c>
    </row>
    <row r="12" ht="14.25" customHeight="1">
      <c r="A12" s="9" t="s">
        <v>29</v>
      </c>
      <c r="B12" s="9">
        <f>COUNTIFS(Inventory!$H$2:$H$11,A12,Inventory!$N$2:$N$11,"발주 필요")</f>
        <v>1</v>
      </c>
      <c r="C12" s="9">
        <f>SUMIFS(Inventory!$M$2:$M$11,Inventory!$H$2:$H$11,A12,Inventory!$N$2:$N$11,"발주 필요")</f>
        <v>10</v>
      </c>
      <c r="D12" s="9" t="str">
        <f>VLOOKUP(A12,Suppliers!$A$2:$E$10,3,FALSE)</f>
        <v>jysong@chonf.co.kr</v>
      </c>
      <c r="E12" s="9">
        <f>VLOOKUP(A12,Suppliers!$A$2:$E$10,4,FALSE)</f>
        <v>3</v>
      </c>
    </row>
    <row r="13" ht="14.25" customHeight="1">
      <c r="A13" s="9" t="s">
        <v>32</v>
      </c>
      <c r="B13" s="9">
        <f>COUNTIFS(Inventory!$H$2:$H$11,A13,Inventory!$N$2:$N$11,"발주 필요")</f>
        <v>2</v>
      </c>
      <c r="C13" s="9">
        <f>SUMIFS(Inventory!$M$2:$M$11,Inventory!$H$2:$H$11,A13,Inventory!$N$2:$N$11,"발주 필요")</f>
        <v>11</v>
      </c>
      <c r="D13" s="9" t="str">
        <f>VLOOKUP(A13,Suppliers!$A$2:$E$10,3,FALSE)</f>
        <v>jysong@chonf.co.kr</v>
      </c>
      <c r="E13" s="9">
        <f>VLOOKUP(A13,Suppliers!$A$2:$E$10,4,FALSE)</f>
        <v>1</v>
      </c>
    </row>
    <row r="14" ht="14.25" customHeight="1">
      <c r="A14" s="9" t="s">
        <v>35</v>
      </c>
      <c r="B14" s="9">
        <f>COUNTIFS(Inventory!$H$2:$H$11,A14,Inventory!$N$2:$N$11,"발주 필요")</f>
        <v>1</v>
      </c>
      <c r="C14" s="9">
        <f>SUMIFS(Inventory!$M$2:$M$11,Inventory!$H$2:$H$11,A14,Inventory!$N$2:$N$11,"발주 필요")</f>
        <v>6</v>
      </c>
      <c r="D14" s="9" t="str">
        <f>VLOOKUP(A14,Suppliers!$A$2:$E$10,3,FALSE)</f>
        <v>jysong@chonf.co.kr</v>
      </c>
      <c r="E14" s="9">
        <f>VLOOKUP(A14,Suppliers!$A$2:$E$10,4,FALSE)</f>
        <v>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4.0"/>
    <col customWidth="1" min="3" max="6" width="18.0"/>
    <col customWidth="1" min="7" max="26" width="8.71"/>
  </cols>
  <sheetData>
    <row r="1" ht="14.25" customHeight="1">
      <c r="A1" s="20" t="s">
        <v>81</v>
      </c>
      <c r="B1" s="2"/>
      <c r="C1" s="2"/>
      <c r="D1" s="2"/>
      <c r="E1" s="2"/>
      <c r="F1" s="3"/>
    </row>
    <row r="2" ht="14.25" customHeight="1"/>
    <row r="3" ht="14.25" customHeight="1">
      <c r="A3" s="24" t="s">
        <v>82</v>
      </c>
      <c r="B3" s="25" t="s">
        <v>83</v>
      </c>
    </row>
    <row r="4" ht="14.25" customHeight="1"/>
    <row r="5" ht="120.0" customHeight="1">
      <c r="A5" s="24" t="s">
        <v>84</v>
      </c>
      <c r="B5" s="26" t="s">
        <v>85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B3:F3"/>
    <mergeCell ref="B5:F12"/>
  </mergeCells>
  <printOptions/>
  <pageMargins bottom="0.75" footer="0.0" header="0.0" left="0.7" right="0.7" top="0.75"/>
  <pageSetup orientation="landscape"/>
  <drawing r:id="rId1"/>
</worksheet>
</file>